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d download\"/>
    </mc:Choice>
  </mc:AlternateContent>
  <xr:revisionPtr revIDLastSave="0" documentId="13_ncr:1_{43D1BC21-7367-4495-B322-763EC7AE9A9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w_Data" sheetId="1" r:id="rId1"/>
    <sheet name="Data_Quality_Checks" sheetId="2" r:id="rId2"/>
    <sheet name="Pivot_Seg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8" i="2"/>
  <c r="B7" i="2"/>
</calcChain>
</file>

<file path=xl/sharedStrings.xml><?xml version="1.0" encoding="utf-8"?>
<sst xmlns="http://schemas.openxmlformats.org/spreadsheetml/2006/main" count="8441" uniqueCount="1446">
  <si>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</si>
  <si>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</si>
  <si>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</si>
  <si>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</si>
  <si>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</si>
  <si>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</si>
  <si>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</si>
  <si>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</si>
  <si>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</si>
  <si>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</si>
  <si>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</si>
  <si>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</si>
  <si>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</si>
  <si>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</si>
  <si>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</si>
  <si>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</si>
  <si>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</si>
  <si>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</si>
  <si>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</si>
  <si>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</si>
  <si>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</si>
  <si>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</si>
  <si>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</si>
  <si>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</si>
  <si>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</si>
  <si>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</si>
  <si>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</si>
  <si>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</si>
  <si>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</si>
  <si>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</si>
  <si>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</si>
  <si>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</si>
  <si>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</si>
  <si>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</si>
  <si>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</si>
  <si>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</si>
  <si>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</si>
  <si>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</si>
  <si>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</si>
  <si>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</si>
  <si>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</si>
  <si>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</si>
  <si>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</si>
  <si>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</si>
  <si>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</si>
  <si>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</si>
  <si>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</si>
  <si>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</si>
  <si>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</si>
  <si>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</si>
  <si>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</si>
  <si>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</si>
  <si>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</si>
  <si>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</si>
  <si>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</si>
  <si>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</si>
  <si>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</si>
  <si>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</si>
  <si>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</si>
  <si>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</si>
  <si>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</si>
  <si>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</si>
  <si>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</si>
  <si>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</si>
  <si>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</si>
  <si>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</si>
  <si>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</si>
  <si>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</si>
  <si>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</si>
  <si>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</si>
  <si>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</si>
  <si>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</si>
  <si>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</si>
  <si>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</si>
  <si>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</si>
  <si>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</si>
  <si>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</si>
  <si>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</si>
  <si>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</si>
  <si>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</si>
  <si>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</si>
  <si>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</si>
  <si>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</si>
  <si>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</si>
  <si>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</si>
  <si>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</si>
  <si>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</si>
  <si>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</si>
  <si>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</si>
  <si>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</si>
  <si>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</si>
  <si>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</si>
  <si>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</si>
  <si>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</si>
  <si>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</si>
  <si>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</si>
  <si>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</si>
  <si>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</si>
  <si>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</si>
  <si>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</si>
  <si>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</si>
  <si>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</si>
  <si>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</si>
  <si>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</si>
  <si>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</si>
  <si>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</si>
  <si>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</si>
  <si>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</si>
  <si>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</si>
  <si>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</si>
  <si>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</si>
  <si>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</si>
  <si>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</si>
  <si>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</si>
  <si>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</si>
  <si>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</si>
  <si>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</si>
  <si>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</si>
  <si>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</si>
  <si>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</si>
  <si>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</si>
  <si>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</si>
  <si>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</si>
  <si>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</si>
  <si>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</si>
  <si>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</si>
  <si>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</si>
  <si>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</si>
  <si>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</si>
  <si>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</si>
  <si>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</si>
  <si>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</si>
  <si>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</si>
  <si>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</si>
  <si>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</si>
  <si>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</si>
  <si>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</si>
  <si>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</si>
  <si>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</si>
  <si>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</si>
  <si>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</si>
  <si>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</si>
  <si>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</si>
  <si>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</si>
  <si>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</si>
  <si>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</si>
  <si>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</si>
  <si>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</si>
  <si>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</si>
  <si>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</si>
  <si>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</si>
  <si>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</si>
  <si>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</si>
  <si>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</si>
  <si>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</si>
  <si>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</si>
  <si>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</si>
  <si>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</si>
  <si>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</si>
  <si>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</si>
  <si>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</si>
  <si>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</si>
  <si>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</si>
  <si>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</si>
  <si>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</si>
  <si>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</si>
  <si>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</si>
  <si>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</si>
  <si>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</si>
  <si>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</si>
  <si>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</si>
  <si>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</si>
  <si>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</si>
  <si>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</si>
  <si>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</si>
  <si>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</si>
  <si>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</si>
  <si>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</si>
  <si>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</si>
  <si>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</si>
  <si>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</si>
  <si>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</si>
  <si>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</si>
  <si>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</si>
  <si>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</si>
  <si>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</si>
  <si>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</si>
  <si>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</si>
  <si>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</si>
  <si>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</si>
  <si>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</si>
  <si>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</si>
  <si>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</si>
  <si>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</si>
  <si>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</si>
  <si>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</si>
  <si>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</si>
  <si>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</si>
  <si>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</si>
  <si>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</si>
  <si>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</si>
  <si>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</si>
  <si>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</si>
  <si>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</si>
  <si>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</si>
  <si>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</si>
  <si>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</si>
  <si>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</si>
  <si>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</si>
  <si>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</si>
  <si>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</si>
  <si>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</si>
  <si>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</si>
  <si>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</si>
  <si>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</si>
  <si>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</si>
  <si>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</si>
  <si>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</si>
  <si>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</si>
  <si>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</si>
  <si>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</si>
  <si>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</si>
  <si>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</si>
  <si>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</si>
  <si>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</si>
  <si>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</si>
  <si>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</si>
  <si>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</si>
  <si>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</si>
  <si>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</si>
  <si>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</si>
  <si>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</si>
  <si>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</si>
  <si>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</si>
  <si>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</si>
  <si>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</si>
  <si>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</si>
  <si>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</si>
  <si>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</si>
  <si>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</si>
  <si>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</si>
  <si>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</si>
  <si>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</si>
  <si>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</si>
  <si>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</si>
  <si>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</si>
  <si>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</si>
  <si>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</si>
  <si>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</si>
  <si>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</si>
  <si>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</si>
  <si>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</si>
  <si>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</si>
  <si>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</si>
  <si>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</si>
  <si>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</si>
  <si>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</si>
  <si>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</si>
  <si>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</si>
  <si>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</si>
  <si>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</si>
  <si>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</si>
  <si>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</si>
  <si>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</si>
  <si>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</si>
  <si>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</si>
  <si>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</si>
  <si>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</si>
  <si>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</si>
  <si>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</si>
  <si>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</si>
  <si>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</si>
  <si>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</si>
  <si>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</si>
  <si>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</si>
  <si>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</si>
  <si>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</si>
  <si>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</si>
  <si>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</si>
  <si>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</si>
  <si>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</si>
  <si>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</si>
  <si>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</si>
  <si>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</si>
  <si>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</si>
  <si>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</si>
  <si>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</si>
  <si>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</si>
  <si>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</si>
  <si>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</si>
  <si>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</si>
  <si>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</si>
  <si>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</si>
  <si>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</si>
  <si>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</si>
  <si>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</si>
  <si>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</si>
  <si>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</si>
  <si>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</si>
  <si>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</si>
  <si>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</si>
  <si>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</si>
  <si>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</si>
  <si>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</si>
  <si>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</si>
  <si>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</si>
  <si>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</si>
  <si>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</si>
  <si>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</si>
  <si>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</si>
  <si>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</si>
  <si>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</si>
  <si>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</si>
  <si>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</si>
  <si>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</si>
  <si>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</si>
  <si>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</si>
  <si>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</si>
  <si>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</si>
  <si>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</si>
  <si>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</si>
  <si>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</si>
  <si>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</si>
  <si>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</si>
  <si>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</si>
  <si>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</si>
  <si>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</si>
  <si>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</si>
  <si>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</si>
  <si>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</si>
  <si>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</si>
  <si>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</si>
  <si>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</si>
  <si>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</si>
  <si>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</si>
  <si>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</si>
  <si>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</si>
  <si>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</si>
  <si>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</si>
  <si>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</si>
  <si>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</si>
  <si>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</si>
  <si>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</si>
  <si>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</si>
  <si>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</si>
  <si>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</si>
  <si>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</si>
  <si>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</si>
  <si>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</si>
  <si>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</si>
  <si>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</si>
  <si>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</si>
  <si>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</si>
  <si>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</si>
  <si>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</si>
  <si>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</si>
  <si>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</si>
  <si>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</si>
  <si>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</si>
  <si>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</si>
  <si>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</si>
  <si>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</si>
  <si>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</si>
  <si>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</si>
  <si>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</si>
  <si>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</si>
  <si>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</si>
  <si>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</si>
  <si>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</si>
  <si>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</si>
  <si>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</si>
  <si>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</si>
  <si>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</si>
  <si>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</si>
  <si>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</si>
  <si>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</si>
  <si>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</si>
  <si>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</si>
  <si>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</si>
  <si>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</si>
  <si>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</si>
  <si>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</si>
  <si>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</si>
  <si>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</si>
  <si>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</si>
  <si>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</si>
  <si>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</si>
  <si>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</si>
  <si>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</si>
  <si>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</si>
  <si>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</si>
  <si>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</si>
  <si>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</si>
  <si>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</si>
  <si>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</si>
  <si>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</si>
  <si>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</si>
  <si>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</si>
  <si>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</si>
  <si>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</si>
  <si>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</si>
  <si>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</si>
  <si>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</si>
  <si>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</si>
  <si>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</si>
  <si>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</si>
  <si>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</si>
  <si>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</si>
  <si>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</si>
  <si>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</si>
  <si>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</si>
  <si>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</si>
  <si>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</si>
  <si>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</si>
  <si>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</si>
  <si>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</si>
  <si>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</si>
  <si>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</si>
  <si>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</si>
  <si>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</si>
  <si>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</si>
  <si>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</si>
  <si>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</si>
  <si>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</si>
  <si>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</si>
  <si>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</si>
  <si>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</si>
  <si>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</si>
  <si>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</si>
  <si>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</si>
  <si>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</si>
  <si>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</si>
  <si>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</si>
  <si>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</si>
  <si>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</si>
  <si>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</si>
  <si>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</si>
  <si>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</si>
  <si>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</si>
  <si>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</si>
  <si>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</si>
  <si>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</si>
  <si>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</si>
  <si>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</si>
  <si>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</si>
  <si>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</si>
  <si>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</si>
  <si>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</si>
  <si>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</si>
  <si>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</si>
  <si>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</si>
  <si>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</si>
  <si>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</si>
  <si>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</si>
  <si>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</si>
  <si>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</si>
  <si>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</si>
  <si>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</si>
  <si>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</si>
  <si>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</si>
  <si>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</si>
  <si>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</si>
  <si>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</si>
  <si>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</si>
  <si>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</si>
  <si>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</si>
  <si>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</si>
  <si>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</si>
  <si>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</si>
  <si>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</si>
  <si>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</si>
  <si>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</si>
  <si>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</si>
  <si>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</si>
  <si>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</si>
  <si>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</si>
  <si>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</si>
  <si>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</si>
  <si>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</si>
  <si>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</si>
  <si>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</si>
  <si>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</si>
  <si>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</si>
  <si>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</si>
  <si>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</si>
  <si>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</si>
  <si>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</si>
  <si>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</si>
  <si>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</si>
  <si>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</si>
  <si>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</si>
  <si>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</si>
  <si>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</si>
  <si>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</si>
  <si>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</si>
  <si>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</si>
  <si>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</si>
  <si>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</si>
  <si>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</si>
  <si>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</si>
  <si>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</si>
  <si>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</si>
  <si>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</si>
  <si>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</si>
  <si>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</si>
  <si>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</si>
  <si>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</si>
  <si>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</si>
  <si>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</si>
  <si>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</si>
  <si>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</si>
  <si>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</si>
  <si>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</si>
  <si>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</si>
  <si>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</si>
  <si>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</si>
  <si>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</si>
  <si>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</si>
  <si>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</si>
  <si>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</si>
  <si>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</si>
  <si>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</si>
  <si>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</si>
  <si>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</si>
  <si>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</si>
  <si>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</si>
  <si>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</si>
  <si>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</si>
  <si>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</si>
  <si>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</si>
  <si>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</si>
  <si>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</si>
  <si>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</si>
  <si>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</si>
  <si>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</si>
  <si>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</si>
  <si>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</si>
  <si>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</si>
  <si>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</si>
  <si>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</si>
  <si>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</si>
  <si>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</si>
  <si>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</si>
  <si>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</si>
  <si>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</si>
  <si>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</si>
  <si>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</si>
  <si>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</si>
  <si>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</si>
  <si>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</si>
  <si>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</si>
  <si>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</si>
  <si>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</si>
  <si>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</si>
  <si>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</si>
  <si>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</si>
  <si>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</si>
  <si>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</si>
  <si>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</si>
  <si>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</si>
  <si>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</si>
  <si>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</si>
  <si>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</si>
  <si>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</si>
  <si>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</si>
  <si>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</si>
  <si>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</si>
  <si>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</si>
  <si>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</si>
  <si>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</si>
  <si>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</si>
  <si>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</si>
  <si>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</si>
  <si>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</si>
  <si>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</si>
  <si>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</si>
  <si>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</si>
  <si>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</si>
  <si>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</si>
  <si>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</si>
  <si>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</si>
  <si>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</si>
  <si>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</si>
  <si>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</si>
  <si>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</si>
  <si>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</si>
  <si>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</si>
  <si>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</si>
  <si>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</si>
  <si>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</si>
  <si>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</si>
  <si>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</si>
  <si>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</si>
  <si>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</si>
  <si>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</si>
  <si>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</si>
  <si>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</si>
  <si>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</si>
  <si>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</si>
  <si>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</si>
  <si>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</si>
  <si>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</si>
  <si>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</si>
  <si>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</si>
  <si>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</si>
  <si>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</si>
  <si>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</si>
  <si>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</si>
  <si>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</si>
  <si>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</si>
  <si>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</si>
  <si>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</si>
  <si>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</si>
  <si>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</si>
  <si>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</si>
  <si>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</si>
  <si>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</si>
  <si>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</si>
  <si>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</si>
  <si>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</si>
  <si>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</si>
  <si>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</si>
  <si>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</si>
  <si>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</si>
  <si>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</si>
  <si>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</si>
  <si>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</si>
  <si>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</si>
  <si>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</si>
  <si>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</si>
  <si>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</si>
  <si>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</si>
  <si>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</si>
  <si>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</si>
  <si>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</si>
  <si>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</si>
  <si>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</si>
  <si>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</si>
  <si>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</si>
  <si>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</si>
  <si>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</si>
  <si>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</si>
  <si>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</si>
  <si>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</si>
  <si>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</si>
  <si>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</si>
  <si>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</si>
  <si>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</si>
  <si>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</si>
  <si>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</si>
  <si>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</si>
  <si>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</si>
  <si>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</si>
  <si>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</si>
  <si>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</si>
  <si>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</si>
  <si>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</si>
  <si>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</si>
  <si>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</si>
  <si>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</si>
  <si>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</si>
  <si>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</si>
  <si>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</si>
  <si>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</si>
  <si>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</si>
  <si>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</si>
  <si>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</si>
  <si>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</si>
  <si>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</si>
  <si>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</si>
  <si>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</si>
  <si>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</si>
  <si>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</si>
  <si>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</si>
  <si>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</si>
  <si>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</si>
  <si>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</si>
  <si>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</si>
  <si>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</si>
  <si>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</si>
  <si>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</si>
  <si>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</si>
  <si>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</si>
  <si>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</si>
  <si>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</si>
  <si>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</si>
  <si>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</si>
  <si>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</si>
  <si>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</si>
  <si>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</si>
  <si>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</si>
  <si>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</si>
  <si>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</si>
  <si>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</si>
  <si>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</si>
  <si>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</si>
  <si>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</si>
  <si>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</si>
  <si>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</si>
  <si>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</si>
  <si>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</si>
  <si>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</si>
  <si>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</si>
  <si>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</si>
  <si>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</si>
  <si>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</si>
  <si>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</si>
  <si>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</si>
  <si>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</si>
  <si>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</si>
  <si>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</si>
  <si>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</si>
  <si>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</si>
  <si>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</si>
  <si>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</si>
  <si>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</si>
  <si>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</si>
  <si>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</si>
  <si>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</si>
  <si>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</si>
  <si>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</si>
  <si>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</si>
  <si>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</si>
  <si>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</si>
  <si>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</si>
  <si>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</si>
  <si>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</si>
  <si>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</si>
  <si>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</si>
  <si>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</si>
  <si>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</si>
  <si>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</si>
  <si>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</si>
  <si>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</si>
  <si>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</si>
  <si>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</si>
  <si>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</si>
  <si>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</si>
  <si>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</si>
  <si>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</si>
  <si>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</si>
  <si>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</si>
  <si>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</si>
  <si>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</si>
  <si>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</si>
  <si>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</si>
  <si>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</si>
  <si>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</si>
  <si>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</si>
  <si>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</si>
  <si>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</si>
  <si>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</si>
  <si>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</si>
  <si>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</si>
  <si>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</si>
  <si>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</si>
  <si>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</si>
  <si>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</si>
  <si>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</si>
  <si>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</si>
  <si>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</si>
  <si>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</si>
  <si>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</si>
  <si>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</si>
  <si>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</si>
  <si>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</si>
  <si>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</si>
  <si>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</si>
  <si>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</si>
  <si>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</si>
  <si>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</si>
  <si>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</si>
  <si>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</si>
  <si>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</si>
  <si>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</si>
  <si>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</si>
  <si>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</si>
  <si>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</si>
  <si>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</si>
  <si>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</si>
  <si>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</si>
  <si>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</si>
  <si>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</si>
  <si>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</si>
  <si>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</si>
  <si>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</si>
  <si>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</si>
  <si>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</si>
  <si>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</si>
  <si>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</si>
  <si>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</si>
  <si>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</si>
  <si>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</si>
  <si>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</si>
  <si>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</si>
  <si>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</si>
  <si>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</si>
  <si>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</si>
  <si>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</si>
  <si>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</si>
  <si>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</si>
  <si>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</si>
  <si>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</si>
  <si>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</si>
  <si>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</si>
  <si>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</si>
  <si>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</si>
  <si>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</si>
  <si>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</si>
  <si>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</si>
  <si>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</si>
  <si>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</si>
  <si>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</si>
  <si>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</si>
  <si>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</si>
  <si>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</si>
  <si>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</si>
  <si>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</si>
  <si>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</si>
  <si>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</si>
  <si>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</si>
  <si>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</si>
  <si>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</si>
  <si>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</si>
  <si>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</si>
  <si>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</si>
  <si>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</si>
  <si>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</si>
  <si>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</si>
  <si>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</si>
  <si>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</si>
  <si>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</si>
  <si>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</si>
  <si>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</si>
  <si>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</si>
  <si>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</si>
  <si>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</si>
  <si>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</si>
  <si>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</si>
  <si>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</si>
  <si>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</si>
  <si>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</si>
  <si>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</si>
  <si>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</si>
  <si>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</si>
  <si>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</si>
  <si>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</si>
  <si>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</si>
  <si>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</si>
  <si>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</si>
  <si>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</si>
  <si>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</si>
  <si>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</si>
  <si>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</si>
  <si>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</si>
  <si>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</si>
  <si>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</si>
  <si>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</si>
  <si>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</si>
  <si>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</si>
  <si>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</si>
  <si>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</si>
  <si>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</si>
  <si>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</si>
  <si>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</si>
  <si>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</si>
  <si>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</si>
  <si>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</si>
  <si>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</si>
  <si>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</si>
  <si>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</si>
  <si>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</si>
  <si>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</si>
  <si>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</si>
  <si>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</si>
  <si>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</si>
  <si>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</si>
  <si>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</si>
  <si>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</si>
  <si>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</si>
  <si>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</si>
  <si>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</si>
  <si>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</si>
  <si>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</si>
  <si>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</si>
  <si>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</si>
  <si>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</si>
  <si>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</si>
  <si>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</si>
  <si>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</si>
  <si>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</si>
  <si>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</si>
  <si>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</si>
  <si>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</si>
  <si>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</si>
  <si>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</si>
  <si>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</si>
  <si>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</si>
  <si>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</si>
  <si>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</si>
  <si>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</si>
  <si>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</si>
  <si>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</si>
  <si>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</si>
  <si>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</si>
  <si>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</si>
  <si>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</si>
  <si>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</si>
  <si>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</si>
  <si>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</si>
  <si>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</si>
  <si>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</si>
  <si>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</si>
  <si>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</si>
  <si>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</si>
  <si>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</si>
  <si>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</si>
  <si>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</si>
  <si>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</si>
  <si>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</si>
  <si>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</si>
  <si>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</si>
  <si>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</si>
  <si>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</si>
  <si>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</si>
  <si>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</si>
  <si>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</si>
  <si>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</si>
  <si>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</si>
  <si>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</si>
  <si>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</si>
  <si>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</si>
  <si>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</si>
  <si>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</si>
  <si>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</si>
  <si>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</si>
  <si>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</si>
  <si>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</si>
  <si>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</si>
  <si>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</si>
  <si>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</si>
  <si>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</si>
  <si>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</si>
  <si>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</si>
  <si>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</si>
  <si>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</si>
  <si>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</si>
  <si>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</si>
  <si>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</si>
  <si>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</si>
  <si>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</si>
  <si>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</si>
  <si>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</si>
  <si>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</si>
  <si>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</si>
  <si>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</si>
  <si>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</si>
  <si>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</si>
  <si>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</si>
  <si>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</si>
  <si>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</si>
  <si>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</si>
  <si>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</si>
  <si>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</si>
  <si>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</si>
  <si>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</si>
  <si>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</si>
  <si>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</si>
  <si>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</si>
  <si>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</si>
  <si>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</si>
  <si>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</si>
  <si>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</si>
  <si>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</si>
  <si>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</si>
  <si>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</si>
  <si>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</si>
  <si>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</si>
  <si>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</si>
  <si>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</si>
  <si>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</si>
  <si>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</si>
  <si>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</si>
  <si>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</si>
  <si>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</si>
  <si>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</si>
  <si>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</si>
  <si>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</si>
  <si>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</si>
  <si>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</si>
  <si>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</si>
  <si>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</si>
  <si>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</si>
  <si>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</si>
  <si>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</si>
  <si>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</si>
  <si>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</si>
  <si>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</si>
  <si>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</si>
  <si>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</si>
  <si>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</si>
  <si>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</si>
  <si>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</si>
  <si>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</si>
  <si>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</si>
  <si>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</si>
  <si>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</si>
  <si>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</si>
  <si>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</si>
  <si>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</si>
  <si>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</si>
  <si>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</si>
  <si>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</si>
  <si>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</si>
  <si>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</si>
  <si>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</si>
  <si>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</si>
  <si>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</si>
  <si>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</si>
  <si>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</si>
  <si>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</si>
  <si>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</si>
  <si>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</si>
  <si>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</si>
  <si>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</si>
  <si>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</si>
  <si>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</si>
  <si>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</si>
  <si>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</si>
  <si>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</si>
  <si>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</si>
  <si>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</si>
  <si>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</si>
  <si>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</si>
  <si>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</si>
  <si>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</si>
  <si>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</si>
  <si>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</si>
  <si>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</si>
  <si>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</si>
  <si>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</si>
  <si>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</si>
  <si>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</si>
  <si>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</si>
  <si>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</si>
  <si>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</si>
  <si>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</si>
  <si>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</si>
  <si>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</si>
  <si>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</si>
  <si>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</si>
  <si>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</si>
  <si>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</si>
  <si>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</si>
  <si>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</si>
  <si>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</si>
  <si>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</si>
  <si>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</si>
  <si>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</si>
  <si>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</si>
  <si>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</si>
  <si>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</si>
  <si>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</si>
  <si>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</si>
  <si>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</si>
  <si>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</si>
  <si>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</si>
  <si>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</si>
  <si>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</si>
  <si>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</si>
  <si>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</si>
  <si>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</si>
  <si>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</si>
  <si>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</si>
  <si>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</si>
  <si>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</si>
  <si>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</si>
  <si>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</si>
  <si>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</si>
  <si>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</si>
  <si>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</si>
  <si>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</si>
  <si>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</si>
  <si>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</si>
  <si>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</si>
  <si>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</si>
  <si>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</si>
  <si>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</si>
  <si>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</si>
  <si>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</si>
  <si>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</si>
  <si>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</si>
  <si>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</si>
  <si>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</si>
  <si>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</si>
  <si>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</si>
  <si>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</si>
  <si>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</si>
  <si>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</si>
  <si>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</si>
  <si>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</si>
  <si>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</si>
  <si>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</si>
  <si>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</si>
  <si>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</si>
  <si>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</si>
  <si>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</si>
  <si>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</si>
  <si>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</si>
  <si>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</si>
  <si>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</si>
  <si>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</si>
  <si>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</si>
  <si>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</si>
  <si>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</si>
  <si>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</si>
  <si>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</si>
  <si>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</si>
  <si>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</si>
  <si>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</si>
  <si>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</si>
  <si>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</si>
  <si>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</si>
  <si>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</si>
  <si>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</si>
  <si>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</si>
  <si>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</si>
  <si>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</si>
  <si>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</si>
  <si>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</si>
  <si>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</si>
  <si>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</si>
  <si>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</si>
  <si>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</si>
  <si>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</si>
  <si>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</si>
  <si>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</si>
  <si>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</si>
  <si>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</si>
  <si>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</si>
  <si>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</si>
  <si>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</si>
  <si>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</si>
  <si>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</si>
  <si>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</si>
  <si>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</si>
  <si>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</si>
  <si>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</si>
  <si>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</si>
  <si>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</si>
  <si>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</si>
  <si>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</si>
  <si>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</si>
  <si>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</si>
  <si>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</si>
  <si>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</si>
  <si>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</si>
  <si>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</si>
  <si>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</si>
  <si>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</si>
  <si>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</si>
  <si>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</si>
  <si>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</si>
  <si>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</si>
  <si>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</si>
  <si>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</si>
  <si>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</si>
  <si>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</si>
  <si>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</si>
  <si>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</si>
  <si>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</si>
  <si>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</si>
  <si>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</si>
  <si>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</si>
  <si>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</si>
  <si>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</si>
  <si>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</si>
  <si>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</si>
  <si>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</si>
  <si>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</si>
  <si>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</si>
  <si>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</si>
  <si>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</si>
  <si>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</si>
  <si>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</si>
  <si>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</si>
  <si>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</si>
  <si>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</si>
  <si>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</si>
  <si>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</si>
  <si>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</si>
  <si>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</si>
  <si>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</si>
  <si>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</si>
  <si>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</si>
  <si>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</si>
  <si>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</si>
  <si>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</si>
  <si>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</si>
  <si>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</si>
  <si>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</si>
  <si>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</si>
  <si>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</si>
  <si>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</si>
  <si>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</si>
  <si>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</si>
  <si>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</si>
  <si>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</si>
  <si>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</si>
  <si>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</si>
  <si>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</si>
  <si>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</si>
  <si>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</si>
  <si>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</si>
  <si>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</si>
  <si>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</si>
  <si>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</si>
  <si>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</si>
  <si>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</si>
  <si>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</si>
  <si>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</si>
  <si>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</si>
  <si>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</si>
  <si>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</si>
  <si>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</si>
  <si>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</si>
  <si>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</si>
  <si>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</si>
  <si>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</si>
  <si>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</si>
  <si>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</si>
  <si>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</si>
  <si>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</si>
  <si>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</si>
  <si>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</si>
  <si>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</si>
  <si>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</si>
  <si>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</si>
  <si>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</si>
  <si>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</si>
  <si>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</si>
  <si>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</si>
  <si>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</si>
  <si>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</si>
  <si>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</si>
  <si>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</si>
  <si>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</si>
  <si>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</si>
  <si>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</si>
  <si>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</si>
  <si>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</si>
  <si>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</si>
  <si>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</si>
  <si>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</si>
  <si>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</si>
  <si>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</si>
  <si>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</si>
  <si>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</si>
  <si>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</si>
  <si>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</si>
  <si>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</si>
  <si>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</si>
  <si>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</si>
  <si>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</si>
  <si>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</si>
  <si>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</si>
  <si>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</si>
  <si>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</si>
  <si>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</si>
  <si>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</si>
  <si>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</si>
  <si>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</si>
  <si>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</si>
  <si>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</si>
  <si>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</si>
  <si>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</si>
  <si>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</si>
  <si>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</si>
  <si>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</si>
  <si>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</si>
  <si>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</si>
  <si>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</si>
  <si>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</si>
  <si>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</si>
  <si>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</si>
  <si>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</si>
  <si>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</si>
  <si>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</si>
  <si>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</si>
  <si>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</si>
  <si>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</si>
  <si>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</si>
  <si>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</si>
  <si>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</si>
  <si>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</si>
  <si>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</si>
  <si>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</si>
  <si>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</si>
  <si>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</si>
  <si>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</si>
  <si>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</si>
  <si>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</si>
  <si>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</si>
  <si>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</si>
  <si>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</si>
  <si>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</si>
  <si>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</si>
  <si>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</si>
  <si>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</si>
  <si>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</si>
  <si>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</si>
  <si>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</si>
  <si>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</si>
  <si>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</si>
  <si>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</si>
  <si>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</si>
  <si>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</si>
  <si>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</si>
  <si>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</si>
  <si>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</si>
  <si>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</si>
  <si>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</si>
  <si>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</si>
  <si>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</si>
  <si>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</si>
  <si>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</si>
  <si>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</si>
  <si>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</si>
  <si>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</si>
  <si>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</si>
  <si>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</si>
  <si>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</si>
  <si>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</si>
  <si>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</si>
  <si>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</si>
  <si>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</si>
  <si>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</si>
  <si>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</si>
  <si>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</si>
  <si>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</si>
  <si>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</si>
  <si>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</si>
  <si>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</si>
  <si>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</si>
  <si>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</si>
  <si>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</si>
  <si>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</si>
  <si>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</si>
  <si>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</si>
  <si>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</si>
  <si>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</si>
  <si>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</si>
  <si>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</si>
  <si>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</si>
  <si>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</si>
  <si>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</si>
  <si>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</si>
  <si>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</si>
  <si>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</si>
  <si>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</si>
  <si>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</si>
  <si>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</si>
  <si>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</si>
  <si>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</si>
  <si>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</si>
  <si>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</si>
  <si>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</si>
  <si>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</si>
  <si>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</si>
  <si>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</si>
  <si>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</si>
  <si>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</si>
  <si>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</si>
  <si>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</si>
  <si>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</si>
  <si>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</si>
  <si>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</si>
  <si>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</si>
  <si>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</si>
  <si>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</si>
  <si>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</si>
  <si>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</si>
  <si>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</si>
  <si>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</si>
  <si>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</si>
  <si>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</si>
  <si>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</si>
  <si>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</si>
  <si>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</si>
  <si>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</si>
  <si>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</si>
  <si>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</si>
  <si>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</si>
  <si>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</si>
  <si>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</si>
  <si>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</si>
  <si>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</si>
  <si>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</si>
  <si>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</si>
  <si>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</si>
  <si>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</si>
  <si>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</si>
  <si>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</si>
  <si>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</si>
  <si>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</si>
  <si>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</si>
  <si>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</si>
  <si>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</si>
  <si>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</si>
  <si>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</si>
  <si>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</si>
  <si>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</si>
  <si>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</si>
  <si>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</si>
  <si>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</si>
  <si>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</si>
  <si>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</si>
  <si>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</si>
  <si>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</si>
  <si>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</si>
  <si>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</si>
  <si>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</si>
  <si>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</si>
  <si>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</si>
  <si>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</si>
  <si>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</si>
  <si>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</si>
  <si>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</si>
  <si>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</si>
  <si>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</si>
  <si>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</si>
  <si>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</si>
  <si>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</si>
  <si>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Control Users</t>
  </si>
  <si>
    <t>Treatment Users</t>
  </si>
  <si>
    <t>Duplicate User IDs</t>
  </si>
  <si>
    <t>Invalid Binary Values</t>
  </si>
  <si>
    <t>15 invalid</t>
  </si>
  <si>
    <t>Revenue Outliers (IQR)</t>
  </si>
  <si>
    <t>Segment Distribution</t>
  </si>
  <si>
    <t>See Pivot_Segments sheet</t>
  </si>
  <si>
    <t>Segment</t>
  </si>
  <si>
    <t>Total users</t>
  </si>
  <si>
    <t>blank spaces (except column o)</t>
  </si>
  <si>
    <t>CHECKS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</si>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</sst>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opLeftCell="A1189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 x14ac:dyDescent="0.3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 x14ac:dyDescent="0.3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 x14ac:dyDescent="0.3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 x14ac:dyDescent="0.3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 x14ac:dyDescent="0.3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 x14ac:dyDescent="0.3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 x14ac:dyDescent="0.3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 x14ac:dyDescent="0.3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 x14ac:dyDescent="0.3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 x14ac:dyDescent="0.3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 x14ac:dyDescent="0.3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 x14ac:dyDescent="0.3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 x14ac:dyDescent="0.3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 x14ac:dyDescent="0.3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 x14ac:dyDescent="0.3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 x14ac:dyDescent="0.3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 x14ac:dyDescent="0.3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 x14ac:dyDescent="0.3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 x14ac:dyDescent="0.3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 x14ac:dyDescent="0.3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 x14ac:dyDescent="0.3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 x14ac:dyDescent="0.3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 x14ac:dyDescent="0.3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 x14ac:dyDescent="0.3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 x14ac:dyDescent="0.3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 x14ac:dyDescent="0.3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 x14ac:dyDescent="0.3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 x14ac:dyDescent="0.3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 x14ac:dyDescent="0.3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 x14ac:dyDescent="0.3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 x14ac:dyDescent="0.3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 x14ac:dyDescent="0.3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 x14ac:dyDescent="0.3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 x14ac:dyDescent="0.3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 x14ac:dyDescent="0.3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 x14ac:dyDescent="0.3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 x14ac:dyDescent="0.3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 x14ac:dyDescent="0.3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 x14ac:dyDescent="0.3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 x14ac:dyDescent="0.3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 x14ac:dyDescent="0.3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 x14ac:dyDescent="0.3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 x14ac:dyDescent="0.3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 x14ac:dyDescent="0.3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 x14ac:dyDescent="0.3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 x14ac:dyDescent="0.3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 x14ac:dyDescent="0.3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 x14ac:dyDescent="0.3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 x14ac:dyDescent="0.3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 x14ac:dyDescent="0.3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 x14ac:dyDescent="0.3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 x14ac:dyDescent="0.3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 x14ac:dyDescent="0.3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 x14ac:dyDescent="0.3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 x14ac:dyDescent="0.3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 x14ac:dyDescent="0.3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 x14ac:dyDescent="0.3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 x14ac:dyDescent="0.3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 x14ac:dyDescent="0.3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 x14ac:dyDescent="0.3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 x14ac:dyDescent="0.3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 x14ac:dyDescent="0.3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 x14ac:dyDescent="0.3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 x14ac:dyDescent="0.3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 x14ac:dyDescent="0.3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 x14ac:dyDescent="0.3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 x14ac:dyDescent="0.3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 x14ac:dyDescent="0.3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 x14ac:dyDescent="0.3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 x14ac:dyDescent="0.3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 x14ac:dyDescent="0.3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 x14ac:dyDescent="0.3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 x14ac:dyDescent="0.3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 x14ac:dyDescent="0.3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 x14ac:dyDescent="0.3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 x14ac:dyDescent="0.3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 x14ac:dyDescent="0.3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 x14ac:dyDescent="0.3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 x14ac:dyDescent="0.3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 x14ac:dyDescent="0.3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 x14ac:dyDescent="0.3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 x14ac:dyDescent="0.3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 x14ac:dyDescent="0.3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 x14ac:dyDescent="0.3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 x14ac:dyDescent="0.3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 x14ac:dyDescent="0.3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 x14ac:dyDescent="0.3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 x14ac:dyDescent="0.3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 x14ac:dyDescent="0.3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 x14ac:dyDescent="0.3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 x14ac:dyDescent="0.3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 x14ac:dyDescent="0.3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 x14ac:dyDescent="0.3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 x14ac:dyDescent="0.3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 x14ac:dyDescent="0.3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 x14ac:dyDescent="0.3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 x14ac:dyDescent="0.3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 x14ac:dyDescent="0.3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 x14ac:dyDescent="0.3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 x14ac:dyDescent="0.3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 x14ac:dyDescent="0.3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 x14ac:dyDescent="0.3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 x14ac:dyDescent="0.3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 x14ac:dyDescent="0.3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 x14ac:dyDescent="0.3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 x14ac:dyDescent="0.3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 x14ac:dyDescent="0.3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 x14ac:dyDescent="0.3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 x14ac:dyDescent="0.3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 x14ac:dyDescent="0.3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 x14ac:dyDescent="0.3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 x14ac:dyDescent="0.3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 x14ac:dyDescent="0.3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 x14ac:dyDescent="0.3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 x14ac:dyDescent="0.3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 x14ac:dyDescent="0.3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 x14ac:dyDescent="0.3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 x14ac:dyDescent="0.3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 x14ac:dyDescent="0.3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 x14ac:dyDescent="0.3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 x14ac:dyDescent="0.3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 x14ac:dyDescent="0.3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 x14ac:dyDescent="0.3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 x14ac:dyDescent="0.3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 x14ac:dyDescent="0.3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 x14ac:dyDescent="0.3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 x14ac:dyDescent="0.3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 x14ac:dyDescent="0.3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 x14ac:dyDescent="0.3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 x14ac:dyDescent="0.3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 x14ac:dyDescent="0.3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 x14ac:dyDescent="0.3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 x14ac:dyDescent="0.3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 x14ac:dyDescent="0.3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 x14ac:dyDescent="0.3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 x14ac:dyDescent="0.3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 x14ac:dyDescent="0.3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 x14ac:dyDescent="0.3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 x14ac:dyDescent="0.3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 x14ac:dyDescent="0.3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 x14ac:dyDescent="0.3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 x14ac:dyDescent="0.3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 x14ac:dyDescent="0.3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 x14ac:dyDescent="0.3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 x14ac:dyDescent="0.3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 x14ac:dyDescent="0.3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 x14ac:dyDescent="0.3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 x14ac:dyDescent="0.3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 x14ac:dyDescent="0.3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 x14ac:dyDescent="0.3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 x14ac:dyDescent="0.3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 x14ac:dyDescent="0.3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 x14ac:dyDescent="0.3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 x14ac:dyDescent="0.3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 x14ac:dyDescent="0.3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 x14ac:dyDescent="0.3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 x14ac:dyDescent="0.3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 x14ac:dyDescent="0.3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 x14ac:dyDescent="0.3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 x14ac:dyDescent="0.3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 x14ac:dyDescent="0.3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 x14ac:dyDescent="0.3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 x14ac:dyDescent="0.3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 x14ac:dyDescent="0.3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 x14ac:dyDescent="0.3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 x14ac:dyDescent="0.3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 x14ac:dyDescent="0.3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 x14ac:dyDescent="0.3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 x14ac:dyDescent="0.3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 x14ac:dyDescent="0.3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 x14ac:dyDescent="0.3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 x14ac:dyDescent="0.3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 x14ac:dyDescent="0.3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 x14ac:dyDescent="0.3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 x14ac:dyDescent="0.3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 x14ac:dyDescent="0.3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 x14ac:dyDescent="0.3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 x14ac:dyDescent="0.3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 x14ac:dyDescent="0.3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 x14ac:dyDescent="0.3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 x14ac:dyDescent="0.3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 x14ac:dyDescent="0.3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 x14ac:dyDescent="0.3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 x14ac:dyDescent="0.3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 x14ac:dyDescent="0.3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 x14ac:dyDescent="0.3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 x14ac:dyDescent="0.3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 x14ac:dyDescent="0.3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 x14ac:dyDescent="0.3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 x14ac:dyDescent="0.3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 x14ac:dyDescent="0.3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 x14ac:dyDescent="0.3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 x14ac:dyDescent="0.3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 x14ac:dyDescent="0.3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 x14ac:dyDescent="0.3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 x14ac:dyDescent="0.3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 x14ac:dyDescent="0.3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 x14ac:dyDescent="0.3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 x14ac:dyDescent="0.3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 x14ac:dyDescent="0.3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 x14ac:dyDescent="0.3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 x14ac:dyDescent="0.3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 x14ac:dyDescent="0.3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 x14ac:dyDescent="0.3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 x14ac:dyDescent="0.3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 x14ac:dyDescent="0.3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 x14ac:dyDescent="0.3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 x14ac:dyDescent="0.3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 x14ac:dyDescent="0.3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 x14ac:dyDescent="0.3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 x14ac:dyDescent="0.3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 x14ac:dyDescent="0.3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 x14ac:dyDescent="0.3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 x14ac:dyDescent="0.3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 x14ac:dyDescent="0.3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 x14ac:dyDescent="0.3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 x14ac:dyDescent="0.3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 x14ac:dyDescent="0.3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 x14ac:dyDescent="0.3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 x14ac:dyDescent="0.3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 x14ac:dyDescent="0.3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 x14ac:dyDescent="0.3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 x14ac:dyDescent="0.3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 x14ac:dyDescent="0.3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 x14ac:dyDescent="0.3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 x14ac:dyDescent="0.3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 x14ac:dyDescent="0.3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 x14ac:dyDescent="0.3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 x14ac:dyDescent="0.3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 x14ac:dyDescent="0.3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 x14ac:dyDescent="0.3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 x14ac:dyDescent="0.3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 x14ac:dyDescent="0.3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 x14ac:dyDescent="0.3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 x14ac:dyDescent="0.3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 x14ac:dyDescent="0.3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 x14ac:dyDescent="0.3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 x14ac:dyDescent="0.3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 x14ac:dyDescent="0.3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 x14ac:dyDescent="0.3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 x14ac:dyDescent="0.3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 x14ac:dyDescent="0.3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 x14ac:dyDescent="0.3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 x14ac:dyDescent="0.3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 x14ac:dyDescent="0.3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 x14ac:dyDescent="0.3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 x14ac:dyDescent="0.3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 x14ac:dyDescent="0.3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 x14ac:dyDescent="0.3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 x14ac:dyDescent="0.3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 x14ac:dyDescent="0.3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 x14ac:dyDescent="0.3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 x14ac:dyDescent="0.3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 x14ac:dyDescent="0.3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 x14ac:dyDescent="0.3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 x14ac:dyDescent="0.3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 x14ac:dyDescent="0.3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 x14ac:dyDescent="0.3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 x14ac:dyDescent="0.3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 x14ac:dyDescent="0.3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 x14ac:dyDescent="0.3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 x14ac:dyDescent="0.3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 x14ac:dyDescent="0.3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 x14ac:dyDescent="0.3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 x14ac:dyDescent="0.3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 x14ac:dyDescent="0.3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 x14ac:dyDescent="0.3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 x14ac:dyDescent="0.3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 x14ac:dyDescent="0.3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 x14ac:dyDescent="0.3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 x14ac:dyDescent="0.3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 x14ac:dyDescent="0.3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 x14ac:dyDescent="0.3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 x14ac:dyDescent="0.3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 x14ac:dyDescent="0.3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 x14ac:dyDescent="0.3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 x14ac:dyDescent="0.3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 x14ac:dyDescent="0.3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 x14ac:dyDescent="0.3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 x14ac:dyDescent="0.3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 x14ac:dyDescent="0.3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 x14ac:dyDescent="0.3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 x14ac:dyDescent="0.3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 x14ac:dyDescent="0.3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 x14ac:dyDescent="0.3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 x14ac:dyDescent="0.3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 x14ac:dyDescent="0.3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 x14ac:dyDescent="0.3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 x14ac:dyDescent="0.3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 x14ac:dyDescent="0.3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 x14ac:dyDescent="0.3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 x14ac:dyDescent="0.3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 x14ac:dyDescent="0.3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 x14ac:dyDescent="0.3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 x14ac:dyDescent="0.3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 x14ac:dyDescent="0.3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 x14ac:dyDescent="0.3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 x14ac:dyDescent="0.3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 x14ac:dyDescent="0.3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 x14ac:dyDescent="0.3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 x14ac:dyDescent="0.3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 x14ac:dyDescent="0.3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 x14ac:dyDescent="0.3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 x14ac:dyDescent="0.3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 x14ac:dyDescent="0.3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 x14ac:dyDescent="0.3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 x14ac:dyDescent="0.3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 x14ac:dyDescent="0.3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 x14ac:dyDescent="0.3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 x14ac:dyDescent="0.3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 x14ac:dyDescent="0.3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 x14ac:dyDescent="0.3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 x14ac:dyDescent="0.3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 x14ac:dyDescent="0.3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 x14ac:dyDescent="0.3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 x14ac:dyDescent="0.3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 x14ac:dyDescent="0.3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 x14ac:dyDescent="0.3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 x14ac:dyDescent="0.3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 x14ac:dyDescent="0.3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 x14ac:dyDescent="0.3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 x14ac:dyDescent="0.3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 x14ac:dyDescent="0.3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 x14ac:dyDescent="0.3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 x14ac:dyDescent="0.3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 x14ac:dyDescent="0.3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 x14ac:dyDescent="0.3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 x14ac:dyDescent="0.3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 x14ac:dyDescent="0.3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 x14ac:dyDescent="0.3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 x14ac:dyDescent="0.3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 x14ac:dyDescent="0.3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 x14ac:dyDescent="0.3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 x14ac:dyDescent="0.3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 x14ac:dyDescent="0.3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 x14ac:dyDescent="0.3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 x14ac:dyDescent="0.3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 x14ac:dyDescent="0.3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 x14ac:dyDescent="0.3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 x14ac:dyDescent="0.3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 x14ac:dyDescent="0.3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 x14ac:dyDescent="0.3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 x14ac:dyDescent="0.3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 x14ac:dyDescent="0.3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 x14ac:dyDescent="0.3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 x14ac:dyDescent="0.3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 x14ac:dyDescent="0.3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 x14ac:dyDescent="0.3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 x14ac:dyDescent="0.3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 x14ac:dyDescent="0.3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 x14ac:dyDescent="0.3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 x14ac:dyDescent="0.3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 x14ac:dyDescent="0.3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 x14ac:dyDescent="0.3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 x14ac:dyDescent="0.3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 x14ac:dyDescent="0.3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 x14ac:dyDescent="0.3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 x14ac:dyDescent="0.3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 x14ac:dyDescent="0.3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 x14ac:dyDescent="0.3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 x14ac:dyDescent="0.3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 x14ac:dyDescent="0.3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 x14ac:dyDescent="0.3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 x14ac:dyDescent="0.3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 x14ac:dyDescent="0.3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 x14ac:dyDescent="0.3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 x14ac:dyDescent="0.3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 x14ac:dyDescent="0.3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 x14ac:dyDescent="0.3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 x14ac:dyDescent="0.3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 x14ac:dyDescent="0.3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 x14ac:dyDescent="0.3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 x14ac:dyDescent="0.3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 x14ac:dyDescent="0.3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 x14ac:dyDescent="0.3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 x14ac:dyDescent="0.3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 x14ac:dyDescent="0.3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 x14ac:dyDescent="0.3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 x14ac:dyDescent="0.3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 x14ac:dyDescent="0.3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 x14ac:dyDescent="0.3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 x14ac:dyDescent="0.3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 x14ac:dyDescent="0.3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 x14ac:dyDescent="0.3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 x14ac:dyDescent="0.3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 x14ac:dyDescent="0.3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 x14ac:dyDescent="0.3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 x14ac:dyDescent="0.3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 x14ac:dyDescent="0.3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 x14ac:dyDescent="0.3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 x14ac:dyDescent="0.3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 x14ac:dyDescent="0.3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 x14ac:dyDescent="0.3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 x14ac:dyDescent="0.3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 x14ac:dyDescent="0.3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 x14ac:dyDescent="0.3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 x14ac:dyDescent="0.3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 x14ac:dyDescent="0.3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 x14ac:dyDescent="0.3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 x14ac:dyDescent="0.3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 x14ac:dyDescent="0.3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 x14ac:dyDescent="0.3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 x14ac:dyDescent="0.3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 x14ac:dyDescent="0.3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 x14ac:dyDescent="0.3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 x14ac:dyDescent="0.3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 x14ac:dyDescent="0.3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 x14ac:dyDescent="0.3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 x14ac:dyDescent="0.3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 x14ac:dyDescent="0.3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 x14ac:dyDescent="0.3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 x14ac:dyDescent="0.3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 x14ac:dyDescent="0.3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 x14ac:dyDescent="0.3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 x14ac:dyDescent="0.3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 x14ac:dyDescent="0.3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 x14ac:dyDescent="0.3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 x14ac:dyDescent="0.3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 x14ac:dyDescent="0.3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 x14ac:dyDescent="0.3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 x14ac:dyDescent="0.3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 x14ac:dyDescent="0.3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 x14ac:dyDescent="0.3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 x14ac:dyDescent="0.3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 x14ac:dyDescent="0.3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 x14ac:dyDescent="0.3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 x14ac:dyDescent="0.3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 x14ac:dyDescent="0.3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 x14ac:dyDescent="0.3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 x14ac:dyDescent="0.3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 x14ac:dyDescent="0.3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 x14ac:dyDescent="0.3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 x14ac:dyDescent="0.3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 x14ac:dyDescent="0.3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 x14ac:dyDescent="0.3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 x14ac:dyDescent="0.3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 x14ac:dyDescent="0.3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 x14ac:dyDescent="0.3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 x14ac:dyDescent="0.3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 x14ac:dyDescent="0.3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 x14ac:dyDescent="0.3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 x14ac:dyDescent="0.3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 x14ac:dyDescent="0.3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 x14ac:dyDescent="0.3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 x14ac:dyDescent="0.3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 x14ac:dyDescent="0.3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 x14ac:dyDescent="0.3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 x14ac:dyDescent="0.3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 x14ac:dyDescent="0.3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 x14ac:dyDescent="0.3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 x14ac:dyDescent="0.3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 x14ac:dyDescent="0.3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 x14ac:dyDescent="0.3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 x14ac:dyDescent="0.3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 x14ac:dyDescent="0.3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 x14ac:dyDescent="0.3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 x14ac:dyDescent="0.3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 x14ac:dyDescent="0.3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 x14ac:dyDescent="0.3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 x14ac:dyDescent="0.3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 x14ac:dyDescent="0.3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 x14ac:dyDescent="0.3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 x14ac:dyDescent="0.3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 x14ac:dyDescent="0.3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 x14ac:dyDescent="0.3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 x14ac:dyDescent="0.3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 x14ac:dyDescent="0.3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 x14ac:dyDescent="0.3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 x14ac:dyDescent="0.3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 x14ac:dyDescent="0.3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 x14ac:dyDescent="0.3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 x14ac:dyDescent="0.3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 x14ac:dyDescent="0.3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 x14ac:dyDescent="0.3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 x14ac:dyDescent="0.3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 x14ac:dyDescent="0.3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 x14ac:dyDescent="0.3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 x14ac:dyDescent="0.3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 x14ac:dyDescent="0.3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 x14ac:dyDescent="0.3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 x14ac:dyDescent="0.3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 x14ac:dyDescent="0.3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 x14ac:dyDescent="0.3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 x14ac:dyDescent="0.3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 x14ac:dyDescent="0.3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 x14ac:dyDescent="0.3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 x14ac:dyDescent="0.3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 x14ac:dyDescent="0.3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 x14ac:dyDescent="0.3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 x14ac:dyDescent="0.3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 x14ac:dyDescent="0.3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 x14ac:dyDescent="0.3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 x14ac:dyDescent="0.3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 x14ac:dyDescent="0.3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 x14ac:dyDescent="0.3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 x14ac:dyDescent="0.3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 x14ac:dyDescent="0.3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 x14ac:dyDescent="0.3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 x14ac:dyDescent="0.3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 x14ac:dyDescent="0.3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 x14ac:dyDescent="0.3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 x14ac:dyDescent="0.3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 x14ac:dyDescent="0.3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 x14ac:dyDescent="0.3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 x14ac:dyDescent="0.3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 x14ac:dyDescent="0.3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 x14ac:dyDescent="0.3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 x14ac:dyDescent="0.3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 x14ac:dyDescent="0.3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 x14ac:dyDescent="0.3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 x14ac:dyDescent="0.3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 x14ac:dyDescent="0.3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 x14ac:dyDescent="0.3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 x14ac:dyDescent="0.3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 x14ac:dyDescent="0.3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 x14ac:dyDescent="0.3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 x14ac:dyDescent="0.3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 x14ac:dyDescent="0.3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 x14ac:dyDescent="0.3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 x14ac:dyDescent="0.3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 x14ac:dyDescent="0.3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 x14ac:dyDescent="0.3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 x14ac:dyDescent="0.3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 x14ac:dyDescent="0.3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 x14ac:dyDescent="0.3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 x14ac:dyDescent="0.3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 x14ac:dyDescent="0.3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 x14ac:dyDescent="0.3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 x14ac:dyDescent="0.3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 x14ac:dyDescent="0.3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 x14ac:dyDescent="0.3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 x14ac:dyDescent="0.3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 x14ac:dyDescent="0.3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 x14ac:dyDescent="0.3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 x14ac:dyDescent="0.3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 x14ac:dyDescent="0.3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 x14ac:dyDescent="0.3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 x14ac:dyDescent="0.3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 x14ac:dyDescent="0.3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 x14ac:dyDescent="0.3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 x14ac:dyDescent="0.3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 x14ac:dyDescent="0.3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 x14ac:dyDescent="0.3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 x14ac:dyDescent="0.3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 x14ac:dyDescent="0.3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 x14ac:dyDescent="0.3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 x14ac:dyDescent="0.3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 x14ac:dyDescent="0.3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 x14ac:dyDescent="0.3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 x14ac:dyDescent="0.3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 x14ac:dyDescent="0.3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 x14ac:dyDescent="0.3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 x14ac:dyDescent="0.3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 x14ac:dyDescent="0.3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 x14ac:dyDescent="0.3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 x14ac:dyDescent="0.3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 x14ac:dyDescent="0.3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 x14ac:dyDescent="0.3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 x14ac:dyDescent="0.3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 x14ac:dyDescent="0.3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 x14ac:dyDescent="0.3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 x14ac:dyDescent="0.3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 x14ac:dyDescent="0.3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 x14ac:dyDescent="0.3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 x14ac:dyDescent="0.3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 x14ac:dyDescent="0.3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 x14ac:dyDescent="0.3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 x14ac:dyDescent="0.3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 x14ac:dyDescent="0.3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 x14ac:dyDescent="0.3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 x14ac:dyDescent="0.3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 x14ac:dyDescent="0.3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 x14ac:dyDescent="0.3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 x14ac:dyDescent="0.3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 x14ac:dyDescent="0.3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 x14ac:dyDescent="0.3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 x14ac:dyDescent="0.3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 x14ac:dyDescent="0.3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 x14ac:dyDescent="0.3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 x14ac:dyDescent="0.3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 x14ac:dyDescent="0.3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 x14ac:dyDescent="0.3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 x14ac:dyDescent="0.3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 x14ac:dyDescent="0.3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 x14ac:dyDescent="0.3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 x14ac:dyDescent="0.3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 x14ac:dyDescent="0.3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 x14ac:dyDescent="0.3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 x14ac:dyDescent="0.3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 x14ac:dyDescent="0.3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 x14ac:dyDescent="0.3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 x14ac:dyDescent="0.3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 x14ac:dyDescent="0.3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 x14ac:dyDescent="0.3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 x14ac:dyDescent="0.3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 x14ac:dyDescent="0.3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 x14ac:dyDescent="0.3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 x14ac:dyDescent="0.3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 x14ac:dyDescent="0.3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 x14ac:dyDescent="0.3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 x14ac:dyDescent="0.3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 x14ac:dyDescent="0.3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 x14ac:dyDescent="0.3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 x14ac:dyDescent="0.3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 x14ac:dyDescent="0.3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 x14ac:dyDescent="0.3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 x14ac:dyDescent="0.3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 x14ac:dyDescent="0.3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 x14ac:dyDescent="0.3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 x14ac:dyDescent="0.3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 x14ac:dyDescent="0.3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 x14ac:dyDescent="0.3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 x14ac:dyDescent="0.3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 x14ac:dyDescent="0.3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 x14ac:dyDescent="0.3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 x14ac:dyDescent="0.3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 x14ac:dyDescent="0.3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 x14ac:dyDescent="0.3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 x14ac:dyDescent="0.3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 x14ac:dyDescent="0.3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 x14ac:dyDescent="0.3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 x14ac:dyDescent="0.3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 x14ac:dyDescent="0.3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 x14ac:dyDescent="0.3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 x14ac:dyDescent="0.3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 x14ac:dyDescent="0.3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 x14ac:dyDescent="0.3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 x14ac:dyDescent="0.3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 x14ac:dyDescent="0.3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 x14ac:dyDescent="0.3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 x14ac:dyDescent="0.3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 x14ac:dyDescent="0.3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 x14ac:dyDescent="0.3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 x14ac:dyDescent="0.3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 x14ac:dyDescent="0.3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 x14ac:dyDescent="0.3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 x14ac:dyDescent="0.3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 x14ac:dyDescent="0.3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 x14ac:dyDescent="0.3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 x14ac:dyDescent="0.3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 x14ac:dyDescent="0.3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 x14ac:dyDescent="0.3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 x14ac:dyDescent="0.3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 x14ac:dyDescent="0.3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 x14ac:dyDescent="0.3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 x14ac:dyDescent="0.3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 x14ac:dyDescent="0.3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 x14ac:dyDescent="0.3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 x14ac:dyDescent="0.3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 x14ac:dyDescent="0.3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 x14ac:dyDescent="0.3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 x14ac:dyDescent="0.3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 x14ac:dyDescent="0.3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 x14ac:dyDescent="0.3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 x14ac:dyDescent="0.3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 x14ac:dyDescent="0.3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 x14ac:dyDescent="0.3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 x14ac:dyDescent="0.3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 x14ac:dyDescent="0.3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 x14ac:dyDescent="0.3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 x14ac:dyDescent="0.3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 x14ac:dyDescent="0.3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 x14ac:dyDescent="0.3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 x14ac:dyDescent="0.3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 x14ac:dyDescent="0.3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 x14ac:dyDescent="0.3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 x14ac:dyDescent="0.3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 x14ac:dyDescent="0.3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 x14ac:dyDescent="0.3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 x14ac:dyDescent="0.3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 x14ac:dyDescent="0.3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 x14ac:dyDescent="0.3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 x14ac:dyDescent="0.3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 x14ac:dyDescent="0.3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 x14ac:dyDescent="0.3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 x14ac:dyDescent="0.3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 x14ac:dyDescent="0.3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 x14ac:dyDescent="0.3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 x14ac:dyDescent="0.3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 x14ac:dyDescent="0.3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 x14ac:dyDescent="0.3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 x14ac:dyDescent="0.3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 x14ac:dyDescent="0.3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 x14ac:dyDescent="0.3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 x14ac:dyDescent="0.3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 x14ac:dyDescent="0.3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 x14ac:dyDescent="0.3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 x14ac:dyDescent="0.3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 x14ac:dyDescent="0.3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 x14ac:dyDescent="0.3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 x14ac:dyDescent="0.3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 x14ac:dyDescent="0.3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 x14ac:dyDescent="0.3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 x14ac:dyDescent="0.3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 x14ac:dyDescent="0.3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 x14ac:dyDescent="0.3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 x14ac:dyDescent="0.3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 x14ac:dyDescent="0.3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 x14ac:dyDescent="0.3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 x14ac:dyDescent="0.3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 x14ac:dyDescent="0.3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 x14ac:dyDescent="0.3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 x14ac:dyDescent="0.3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 x14ac:dyDescent="0.3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 x14ac:dyDescent="0.3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 x14ac:dyDescent="0.3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 x14ac:dyDescent="0.3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 x14ac:dyDescent="0.3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 x14ac:dyDescent="0.3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 x14ac:dyDescent="0.3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 x14ac:dyDescent="0.3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 x14ac:dyDescent="0.3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 x14ac:dyDescent="0.3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 x14ac:dyDescent="0.3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 x14ac:dyDescent="0.3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 x14ac:dyDescent="0.3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 x14ac:dyDescent="0.3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 x14ac:dyDescent="0.3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 x14ac:dyDescent="0.3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 x14ac:dyDescent="0.3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 x14ac:dyDescent="0.3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 x14ac:dyDescent="0.3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 x14ac:dyDescent="0.3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 x14ac:dyDescent="0.3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 x14ac:dyDescent="0.3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 x14ac:dyDescent="0.3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 x14ac:dyDescent="0.3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 x14ac:dyDescent="0.3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 x14ac:dyDescent="0.3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 x14ac:dyDescent="0.3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 x14ac:dyDescent="0.3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 x14ac:dyDescent="0.3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 x14ac:dyDescent="0.3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 x14ac:dyDescent="0.3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 x14ac:dyDescent="0.3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 x14ac:dyDescent="0.3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 x14ac:dyDescent="0.3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 x14ac:dyDescent="0.3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 x14ac:dyDescent="0.3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 x14ac:dyDescent="0.3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 x14ac:dyDescent="0.3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 x14ac:dyDescent="0.3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 x14ac:dyDescent="0.3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 x14ac:dyDescent="0.3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 x14ac:dyDescent="0.3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 x14ac:dyDescent="0.3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 x14ac:dyDescent="0.3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 x14ac:dyDescent="0.3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 x14ac:dyDescent="0.3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 x14ac:dyDescent="0.3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 x14ac:dyDescent="0.3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 x14ac:dyDescent="0.3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 x14ac:dyDescent="0.3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 x14ac:dyDescent="0.3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 x14ac:dyDescent="0.3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 x14ac:dyDescent="0.3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 x14ac:dyDescent="0.3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 x14ac:dyDescent="0.3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 x14ac:dyDescent="0.3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 x14ac:dyDescent="0.3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 x14ac:dyDescent="0.3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 x14ac:dyDescent="0.3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 x14ac:dyDescent="0.3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 x14ac:dyDescent="0.3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 x14ac:dyDescent="0.3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 x14ac:dyDescent="0.3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 x14ac:dyDescent="0.3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 x14ac:dyDescent="0.3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 x14ac:dyDescent="0.3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 x14ac:dyDescent="0.3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 x14ac:dyDescent="0.3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 x14ac:dyDescent="0.3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 x14ac:dyDescent="0.3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 x14ac:dyDescent="0.3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 x14ac:dyDescent="0.3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 x14ac:dyDescent="0.3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 x14ac:dyDescent="0.3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 x14ac:dyDescent="0.3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 x14ac:dyDescent="0.3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 x14ac:dyDescent="0.3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 x14ac:dyDescent="0.3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 x14ac:dyDescent="0.3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 x14ac:dyDescent="0.3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 x14ac:dyDescent="0.3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 x14ac:dyDescent="0.3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 x14ac:dyDescent="0.3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 x14ac:dyDescent="0.3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 x14ac:dyDescent="0.3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 x14ac:dyDescent="0.3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 x14ac:dyDescent="0.3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 x14ac:dyDescent="0.3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 x14ac:dyDescent="0.3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 x14ac:dyDescent="0.3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 x14ac:dyDescent="0.3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 x14ac:dyDescent="0.3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 x14ac:dyDescent="0.3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 x14ac:dyDescent="0.3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 x14ac:dyDescent="0.3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 x14ac:dyDescent="0.3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 x14ac:dyDescent="0.3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 x14ac:dyDescent="0.3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 x14ac:dyDescent="0.3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 x14ac:dyDescent="0.3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 x14ac:dyDescent="0.3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 x14ac:dyDescent="0.3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 x14ac:dyDescent="0.3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 x14ac:dyDescent="0.3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 x14ac:dyDescent="0.3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 x14ac:dyDescent="0.3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 x14ac:dyDescent="0.3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 x14ac:dyDescent="0.3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 x14ac:dyDescent="0.3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 x14ac:dyDescent="0.3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 x14ac:dyDescent="0.3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 x14ac:dyDescent="0.3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 x14ac:dyDescent="0.3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 x14ac:dyDescent="0.3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 x14ac:dyDescent="0.3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 x14ac:dyDescent="0.3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 x14ac:dyDescent="0.3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 x14ac:dyDescent="0.3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 x14ac:dyDescent="0.3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 x14ac:dyDescent="0.3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 x14ac:dyDescent="0.3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 x14ac:dyDescent="0.3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 x14ac:dyDescent="0.3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 x14ac:dyDescent="0.3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 x14ac:dyDescent="0.3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 x14ac:dyDescent="0.3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 x14ac:dyDescent="0.3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 x14ac:dyDescent="0.3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 x14ac:dyDescent="0.3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 x14ac:dyDescent="0.3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 x14ac:dyDescent="0.3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 x14ac:dyDescent="0.3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 x14ac:dyDescent="0.3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 x14ac:dyDescent="0.3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 x14ac:dyDescent="0.3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 x14ac:dyDescent="0.3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 x14ac:dyDescent="0.3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 x14ac:dyDescent="0.3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 x14ac:dyDescent="0.3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 x14ac:dyDescent="0.3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 x14ac:dyDescent="0.3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 x14ac:dyDescent="0.3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 x14ac:dyDescent="0.3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 x14ac:dyDescent="0.3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 x14ac:dyDescent="0.3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 x14ac:dyDescent="0.3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 x14ac:dyDescent="0.3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 x14ac:dyDescent="0.3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 x14ac:dyDescent="0.3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 x14ac:dyDescent="0.3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 x14ac:dyDescent="0.3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 x14ac:dyDescent="0.3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 x14ac:dyDescent="0.3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 x14ac:dyDescent="0.3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 x14ac:dyDescent="0.3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 x14ac:dyDescent="0.3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 x14ac:dyDescent="0.3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 x14ac:dyDescent="0.3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 x14ac:dyDescent="0.3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 x14ac:dyDescent="0.3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 x14ac:dyDescent="0.3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 x14ac:dyDescent="0.3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 x14ac:dyDescent="0.3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 x14ac:dyDescent="0.3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 x14ac:dyDescent="0.3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 x14ac:dyDescent="0.3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 x14ac:dyDescent="0.3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 x14ac:dyDescent="0.3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 x14ac:dyDescent="0.3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 x14ac:dyDescent="0.3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 x14ac:dyDescent="0.3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 x14ac:dyDescent="0.3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 x14ac:dyDescent="0.3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 x14ac:dyDescent="0.3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 x14ac:dyDescent="0.3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 x14ac:dyDescent="0.3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 x14ac:dyDescent="0.3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 x14ac:dyDescent="0.3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 x14ac:dyDescent="0.3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 x14ac:dyDescent="0.3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 x14ac:dyDescent="0.3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 x14ac:dyDescent="0.3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 x14ac:dyDescent="0.3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 x14ac:dyDescent="0.3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 x14ac:dyDescent="0.3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 x14ac:dyDescent="0.3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 x14ac:dyDescent="0.3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 x14ac:dyDescent="0.3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 x14ac:dyDescent="0.3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 x14ac:dyDescent="0.3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 x14ac:dyDescent="0.3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 x14ac:dyDescent="0.3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 x14ac:dyDescent="0.3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 x14ac:dyDescent="0.3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 x14ac:dyDescent="0.3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 x14ac:dyDescent="0.3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 x14ac:dyDescent="0.3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 x14ac:dyDescent="0.3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 x14ac:dyDescent="0.3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 x14ac:dyDescent="0.3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 x14ac:dyDescent="0.3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 x14ac:dyDescent="0.3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 x14ac:dyDescent="0.3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 x14ac:dyDescent="0.3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 x14ac:dyDescent="0.3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 x14ac:dyDescent="0.3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 x14ac:dyDescent="0.3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 x14ac:dyDescent="0.3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 x14ac:dyDescent="0.3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 x14ac:dyDescent="0.3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 x14ac:dyDescent="0.3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 x14ac:dyDescent="0.3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 x14ac:dyDescent="0.3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 x14ac:dyDescent="0.3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 x14ac:dyDescent="0.3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 x14ac:dyDescent="0.3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 x14ac:dyDescent="0.3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 x14ac:dyDescent="0.3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 x14ac:dyDescent="0.3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 x14ac:dyDescent="0.3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 x14ac:dyDescent="0.3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 x14ac:dyDescent="0.3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 x14ac:dyDescent="0.3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 x14ac:dyDescent="0.3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 x14ac:dyDescent="0.3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 x14ac:dyDescent="0.3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 x14ac:dyDescent="0.3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 x14ac:dyDescent="0.3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 x14ac:dyDescent="0.3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 x14ac:dyDescent="0.3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 x14ac:dyDescent="0.3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 x14ac:dyDescent="0.3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 x14ac:dyDescent="0.3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 x14ac:dyDescent="0.3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 x14ac:dyDescent="0.3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 x14ac:dyDescent="0.3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 x14ac:dyDescent="0.3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 x14ac:dyDescent="0.3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 x14ac:dyDescent="0.3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 x14ac:dyDescent="0.3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 x14ac:dyDescent="0.3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 x14ac:dyDescent="0.3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 x14ac:dyDescent="0.3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 x14ac:dyDescent="0.3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 x14ac:dyDescent="0.3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 x14ac:dyDescent="0.3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 x14ac:dyDescent="0.3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 x14ac:dyDescent="0.3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 x14ac:dyDescent="0.3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 x14ac:dyDescent="0.3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 x14ac:dyDescent="0.3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 x14ac:dyDescent="0.3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 x14ac:dyDescent="0.3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 x14ac:dyDescent="0.3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 x14ac:dyDescent="0.3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 x14ac:dyDescent="0.3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 x14ac:dyDescent="0.3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 x14ac:dyDescent="0.3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 x14ac:dyDescent="0.3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 x14ac:dyDescent="0.3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 x14ac:dyDescent="0.3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 x14ac:dyDescent="0.3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 x14ac:dyDescent="0.3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 x14ac:dyDescent="0.3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 x14ac:dyDescent="0.3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 x14ac:dyDescent="0.3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 x14ac:dyDescent="0.3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 x14ac:dyDescent="0.3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 x14ac:dyDescent="0.3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 x14ac:dyDescent="0.3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 x14ac:dyDescent="0.3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 x14ac:dyDescent="0.3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 x14ac:dyDescent="0.3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 x14ac:dyDescent="0.3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 x14ac:dyDescent="0.3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 x14ac:dyDescent="0.3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 x14ac:dyDescent="0.3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 x14ac:dyDescent="0.3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 x14ac:dyDescent="0.3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 x14ac:dyDescent="0.3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 x14ac:dyDescent="0.3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 x14ac:dyDescent="0.3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 x14ac:dyDescent="0.3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 x14ac:dyDescent="0.3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 x14ac:dyDescent="0.3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 x14ac:dyDescent="0.3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 x14ac:dyDescent="0.3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 x14ac:dyDescent="0.3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 x14ac:dyDescent="0.3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 x14ac:dyDescent="0.3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 x14ac:dyDescent="0.3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 x14ac:dyDescent="0.3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 x14ac:dyDescent="0.3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 x14ac:dyDescent="0.3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 x14ac:dyDescent="0.3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 x14ac:dyDescent="0.3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 x14ac:dyDescent="0.3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 x14ac:dyDescent="0.3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 x14ac:dyDescent="0.3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 x14ac:dyDescent="0.3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 x14ac:dyDescent="0.3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 x14ac:dyDescent="0.3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 x14ac:dyDescent="0.3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 x14ac:dyDescent="0.3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 x14ac:dyDescent="0.3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 x14ac:dyDescent="0.3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 x14ac:dyDescent="0.3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 x14ac:dyDescent="0.3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 x14ac:dyDescent="0.3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 x14ac:dyDescent="0.3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 x14ac:dyDescent="0.3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 x14ac:dyDescent="0.3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 x14ac:dyDescent="0.3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 x14ac:dyDescent="0.3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 x14ac:dyDescent="0.3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 x14ac:dyDescent="0.3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 x14ac:dyDescent="0.3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 x14ac:dyDescent="0.3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 x14ac:dyDescent="0.3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 x14ac:dyDescent="0.3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 x14ac:dyDescent="0.3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 x14ac:dyDescent="0.3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 x14ac:dyDescent="0.3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 x14ac:dyDescent="0.3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 x14ac:dyDescent="0.3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 x14ac:dyDescent="0.3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 x14ac:dyDescent="0.3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 x14ac:dyDescent="0.3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 x14ac:dyDescent="0.3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 x14ac:dyDescent="0.3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 x14ac:dyDescent="0.3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 x14ac:dyDescent="0.3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 x14ac:dyDescent="0.3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 x14ac:dyDescent="0.3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 x14ac:dyDescent="0.3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 x14ac:dyDescent="0.3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 x14ac:dyDescent="0.3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 x14ac:dyDescent="0.3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 x14ac:dyDescent="0.3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 x14ac:dyDescent="0.3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 x14ac:dyDescent="0.3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 x14ac:dyDescent="0.3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 x14ac:dyDescent="0.3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 x14ac:dyDescent="0.3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 x14ac:dyDescent="0.3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 x14ac:dyDescent="0.3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 x14ac:dyDescent="0.3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 x14ac:dyDescent="0.3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 x14ac:dyDescent="0.3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 x14ac:dyDescent="0.3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 x14ac:dyDescent="0.3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 x14ac:dyDescent="0.3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 x14ac:dyDescent="0.3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 x14ac:dyDescent="0.3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 x14ac:dyDescent="0.3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 x14ac:dyDescent="0.3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 x14ac:dyDescent="0.3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 x14ac:dyDescent="0.3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 x14ac:dyDescent="0.3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 x14ac:dyDescent="0.3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 x14ac:dyDescent="0.3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 x14ac:dyDescent="0.3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 x14ac:dyDescent="0.3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 x14ac:dyDescent="0.3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 x14ac:dyDescent="0.3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 x14ac:dyDescent="0.3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 x14ac:dyDescent="0.3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 x14ac:dyDescent="0.3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 x14ac:dyDescent="0.3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 x14ac:dyDescent="0.3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 x14ac:dyDescent="0.3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 x14ac:dyDescent="0.3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 x14ac:dyDescent="0.3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 x14ac:dyDescent="0.3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 x14ac:dyDescent="0.3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 x14ac:dyDescent="0.3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 x14ac:dyDescent="0.3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 x14ac:dyDescent="0.3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 x14ac:dyDescent="0.3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 x14ac:dyDescent="0.3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 x14ac:dyDescent="0.3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 x14ac:dyDescent="0.3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 x14ac:dyDescent="0.3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 x14ac:dyDescent="0.3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 x14ac:dyDescent="0.3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 x14ac:dyDescent="0.3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 x14ac:dyDescent="0.3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 x14ac:dyDescent="0.3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 x14ac:dyDescent="0.3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 x14ac:dyDescent="0.3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 x14ac:dyDescent="0.3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 x14ac:dyDescent="0.3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 x14ac:dyDescent="0.3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 x14ac:dyDescent="0.3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 x14ac:dyDescent="0.3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 x14ac:dyDescent="0.3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 x14ac:dyDescent="0.3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 x14ac:dyDescent="0.3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 x14ac:dyDescent="0.3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 x14ac:dyDescent="0.3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 x14ac:dyDescent="0.3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 x14ac:dyDescent="0.3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 x14ac:dyDescent="0.3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 x14ac:dyDescent="0.3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 x14ac:dyDescent="0.3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 x14ac:dyDescent="0.3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 x14ac:dyDescent="0.3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 x14ac:dyDescent="0.3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 x14ac:dyDescent="0.3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 x14ac:dyDescent="0.3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 x14ac:dyDescent="0.3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 x14ac:dyDescent="0.3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 x14ac:dyDescent="0.3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 x14ac:dyDescent="0.3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 x14ac:dyDescent="0.3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 x14ac:dyDescent="0.3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 x14ac:dyDescent="0.3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 x14ac:dyDescent="0.3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 x14ac:dyDescent="0.3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 x14ac:dyDescent="0.3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 x14ac:dyDescent="0.3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 x14ac:dyDescent="0.3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 x14ac:dyDescent="0.3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 x14ac:dyDescent="0.3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 x14ac:dyDescent="0.3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 x14ac:dyDescent="0.3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 x14ac:dyDescent="0.3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 x14ac:dyDescent="0.3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 x14ac:dyDescent="0.3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 x14ac:dyDescent="0.3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 x14ac:dyDescent="0.3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 x14ac:dyDescent="0.3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 x14ac:dyDescent="0.3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 x14ac:dyDescent="0.3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 x14ac:dyDescent="0.3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 x14ac:dyDescent="0.3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 x14ac:dyDescent="0.3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 x14ac:dyDescent="0.3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 x14ac:dyDescent="0.3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 x14ac:dyDescent="0.3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 x14ac:dyDescent="0.3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 x14ac:dyDescent="0.3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 x14ac:dyDescent="0.3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 x14ac:dyDescent="0.3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 x14ac:dyDescent="0.3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 x14ac:dyDescent="0.3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 x14ac:dyDescent="0.3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 x14ac:dyDescent="0.3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 x14ac:dyDescent="0.3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 x14ac:dyDescent="0.3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 x14ac:dyDescent="0.3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 x14ac:dyDescent="0.3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 x14ac:dyDescent="0.3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 x14ac:dyDescent="0.3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 x14ac:dyDescent="0.3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 x14ac:dyDescent="0.3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 x14ac:dyDescent="0.3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 x14ac:dyDescent="0.3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 x14ac:dyDescent="0.3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 x14ac:dyDescent="0.3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 x14ac:dyDescent="0.3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 x14ac:dyDescent="0.3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 x14ac:dyDescent="0.3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 x14ac:dyDescent="0.3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 x14ac:dyDescent="0.3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 x14ac:dyDescent="0.3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 x14ac:dyDescent="0.3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 x14ac:dyDescent="0.3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 x14ac:dyDescent="0.3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 x14ac:dyDescent="0.3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 x14ac:dyDescent="0.3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 x14ac:dyDescent="0.3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 x14ac:dyDescent="0.3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 x14ac:dyDescent="0.3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 x14ac:dyDescent="0.3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 x14ac:dyDescent="0.3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 x14ac:dyDescent="0.3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 x14ac:dyDescent="0.3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 x14ac:dyDescent="0.3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 x14ac:dyDescent="0.3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 x14ac:dyDescent="0.3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 x14ac:dyDescent="0.3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 x14ac:dyDescent="0.3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 x14ac:dyDescent="0.3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 x14ac:dyDescent="0.3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 x14ac:dyDescent="0.3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 x14ac:dyDescent="0.3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 x14ac:dyDescent="0.3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 x14ac:dyDescent="0.3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 x14ac:dyDescent="0.3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 x14ac:dyDescent="0.3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 x14ac:dyDescent="0.3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 x14ac:dyDescent="0.3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 x14ac:dyDescent="0.3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 x14ac:dyDescent="0.3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 x14ac:dyDescent="0.3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 x14ac:dyDescent="0.3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 x14ac:dyDescent="0.3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 x14ac:dyDescent="0.3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 x14ac:dyDescent="0.3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 x14ac:dyDescent="0.3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 x14ac:dyDescent="0.3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 x14ac:dyDescent="0.3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 x14ac:dyDescent="0.3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 x14ac:dyDescent="0.3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 x14ac:dyDescent="0.3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 x14ac:dyDescent="0.3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 x14ac:dyDescent="0.3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 x14ac:dyDescent="0.3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 x14ac:dyDescent="0.3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 x14ac:dyDescent="0.3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 x14ac:dyDescent="0.3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 x14ac:dyDescent="0.3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 x14ac:dyDescent="0.3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 x14ac:dyDescent="0.3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 x14ac:dyDescent="0.3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 x14ac:dyDescent="0.3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 x14ac:dyDescent="0.3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 x14ac:dyDescent="0.3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 x14ac:dyDescent="0.3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 x14ac:dyDescent="0.3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 x14ac:dyDescent="0.3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 x14ac:dyDescent="0.3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 x14ac:dyDescent="0.3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 x14ac:dyDescent="0.3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 x14ac:dyDescent="0.3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 x14ac:dyDescent="0.3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 x14ac:dyDescent="0.3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 x14ac:dyDescent="0.3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 x14ac:dyDescent="0.3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 x14ac:dyDescent="0.3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 x14ac:dyDescent="0.3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 x14ac:dyDescent="0.3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 x14ac:dyDescent="0.3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 x14ac:dyDescent="0.3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 x14ac:dyDescent="0.3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 x14ac:dyDescent="0.3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 x14ac:dyDescent="0.3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 x14ac:dyDescent="0.3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 x14ac:dyDescent="0.3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 x14ac:dyDescent="0.3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 x14ac:dyDescent="0.3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 x14ac:dyDescent="0.3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 x14ac:dyDescent="0.3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 x14ac:dyDescent="0.3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 x14ac:dyDescent="0.3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 x14ac:dyDescent="0.3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 x14ac:dyDescent="0.3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 x14ac:dyDescent="0.3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 x14ac:dyDescent="0.3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 x14ac:dyDescent="0.3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 x14ac:dyDescent="0.3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 x14ac:dyDescent="0.3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 x14ac:dyDescent="0.3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 x14ac:dyDescent="0.3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 x14ac:dyDescent="0.3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 x14ac:dyDescent="0.3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 x14ac:dyDescent="0.3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 x14ac:dyDescent="0.3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 x14ac:dyDescent="0.3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 x14ac:dyDescent="0.3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 x14ac:dyDescent="0.3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 x14ac:dyDescent="0.3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 x14ac:dyDescent="0.3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 x14ac:dyDescent="0.3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 x14ac:dyDescent="0.3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 x14ac:dyDescent="0.3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 x14ac:dyDescent="0.3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 x14ac:dyDescent="0.3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 x14ac:dyDescent="0.3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 x14ac:dyDescent="0.3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 x14ac:dyDescent="0.3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 x14ac:dyDescent="0.3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 x14ac:dyDescent="0.3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 x14ac:dyDescent="0.3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 x14ac:dyDescent="0.3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 x14ac:dyDescent="0.3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 x14ac:dyDescent="0.3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 x14ac:dyDescent="0.3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 x14ac:dyDescent="0.3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 x14ac:dyDescent="0.3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 x14ac:dyDescent="0.3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 x14ac:dyDescent="0.3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 x14ac:dyDescent="0.3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 x14ac:dyDescent="0.3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 x14ac:dyDescent="0.3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 x14ac:dyDescent="0.3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 x14ac:dyDescent="0.3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 x14ac:dyDescent="0.3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 x14ac:dyDescent="0.3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 x14ac:dyDescent="0.3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 x14ac:dyDescent="0.3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 x14ac:dyDescent="0.3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 x14ac:dyDescent="0.3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 x14ac:dyDescent="0.3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 x14ac:dyDescent="0.3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 x14ac:dyDescent="0.3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 x14ac:dyDescent="0.3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 x14ac:dyDescent="0.3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 x14ac:dyDescent="0.3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 x14ac:dyDescent="0.3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 x14ac:dyDescent="0.3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 x14ac:dyDescent="0.3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 x14ac:dyDescent="0.3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 x14ac:dyDescent="0.3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 x14ac:dyDescent="0.3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 x14ac:dyDescent="0.3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 x14ac:dyDescent="0.3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 x14ac:dyDescent="0.3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 x14ac:dyDescent="0.3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 x14ac:dyDescent="0.3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 x14ac:dyDescent="0.3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 x14ac:dyDescent="0.3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 x14ac:dyDescent="0.3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 x14ac:dyDescent="0.3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 x14ac:dyDescent="0.3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 x14ac:dyDescent="0.3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 x14ac:dyDescent="0.3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 x14ac:dyDescent="0.3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 x14ac:dyDescent="0.3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 x14ac:dyDescent="0.3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 x14ac:dyDescent="0.3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 x14ac:dyDescent="0.3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 x14ac:dyDescent="0.3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 x14ac:dyDescent="0.3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 x14ac:dyDescent="0.3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 x14ac:dyDescent="0.3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 x14ac:dyDescent="0.3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 x14ac:dyDescent="0.3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 x14ac:dyDescent="0.3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 x14ac:dyDescent="0.3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 x14ac:dyDescent="0.3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 x14ac:dyDescent="0.3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 x14ac:dyDescent="0.3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 x14ac:dyDescent="0.3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 x14ac:dyDescent="0.3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 x14ac:dyDescent="0.3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 x14ac:dyDescent="0.3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 x14ac:dyDescent="0.3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 x14ac:dyDescent="0.3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 x14ac:dyDescent="0.3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 x14ac:dyDescent="0.3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 x14ac:dyDescent="0.3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 x14ac:dyDescent="0.3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 x14ac:dyDescent="0.3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 x14ac:dyDescent="0.3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 x14ac:dyDescent="0.3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 x14ac:dyDescent="0.3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 x14ac:dyDescent="0.3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 x14ac:dyDescent="0.3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 x14ac:dyDescent="0.3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 x14ac:dyDescent="0.3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 x14ac:dyDescent="0.3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 x14ac:dyDescent="0.3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 x14ac:dyDescent="0.3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 x14ac:dyDescent="0.3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 x14ac:dyDescent="0.3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 x14ac:dyDescent="0.3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 x14ac:dyDescent="0.3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 x14ac:dyDescent="0.3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 x14ac:dyDescent="0.3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 x14ac:dyDescent="0.3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 x14ac:dyDescent="0.3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 x14ac:dyDescent="0.3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 x14ac:dyDescent="0.3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 x14ac:dyDescent="0.3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 x14ac:dyDescent="0.3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 x14ac:dyDescent="0.3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 x14ac:dyDescent="0.3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 x14ac:dyDescent="0.3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 x14ac:dyDescent="0.3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 x14ac:dyDescent="0.3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 x14ac:dyDescent="0.3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 x14ac:dyDescent="0.3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 x14ac:dyDescent="0.3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 x14ac:dyDescent="0.3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 x14ac:dyDescent="0.3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 x14ac:dyDescent="0.3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 x14ac:dyDescent="0.3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 x14ac:dyDescent="0.3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 x14ac:dyDescent="0.3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 x14ac:dyDescent="0.3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 x14ac:dyDescent="0.3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 x14ac:dyDescent="0.3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 x14ac:dyDescent="0.3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 x14ac:dyDescent="0.3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 x14ac:dyDescent="0.3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 x14ac:dyDescent="0.3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 x14ac:dyDescent="0.3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 x14ac:dyDescent="0.3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 x14ac:dyDescent="0.3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 x14ac:dyDescent="0.3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 x14ac:dyDescent="0.3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 x14ac:dyDescent="0.3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 x14ac:dyDescent="0.3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 x14ac:dyDescent="0.3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 x14ac:dyDescent="0.3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 x14ac:dyDescent="0.3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 x14ac:dyDescent="0.3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 x14ac:dyDescent="0.3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 x14ac:dyDescent="0.3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 x14ac:dyDescent="0.3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 x14ac:dyDescent="0.3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 x14ac:dyDescent="0.3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zoomScale="165" zoomScaleNormal="165" workbookViewId="0">
      <selection activeCell="B11" sqref="B11"/>
    </sheetView>
  </sheetViews>
  <sheetFormatPr defaultRowHeight="14.4" x14ac:dyDescent="0.3"/>
  <cols>
    <col min="1" max="1" width="28" customWidth="1"/>
    <col min="2" max="2" width="24.44140625" customWidth="1"/>
  </cols>
  <sheetData>
    <row r="1" spans="1:2" x14ac:dyDescent="0.3">
      <c r="A1" s="3"/>
    </row>
    <row r="2" spans="1:2" x14ac:dyDescent="0.3">
      <c r="A2" s="5" t="s">
        <v>1444</v>
      </c>
      <c r="B2" s="4" t="s">
        <v>1445</v>
      </c>
    </row>
    <row r="3" spans="1:2" x14ac:dyDescent="0.3">
      <c r="A3" s="6" t="s">
        <v>1435</v>
      </c>
      <c r="B3" s="7">
        <v>8</v>
      </c>
    </row>
    <row r="4" spans="1:2" x14ac:dyDescent="0.3">
      <c r="A4" s="6" t="s">
        <v>1436</v>
      </c>
      <c r="B4" s="7" t="s">
        <v>1437</v>
      </c>
    </row>
    <row r="5" spans="1:2" x14ac:dyDescent="0.3">
      <c r="A5" s="6" t="s">
        <v>1438</v>
      </c>
      <c r="B5" s="7">
        <v>72</v>
      </c>
    </row>
    <row r="6" spans="1:2" x14ac:dyDescent="0.3">
      <c r="A6" s="6" t="s">
        <v>1439</v>
      </c>
      <c r="B6" s="7" t="s">
        <v>1440</v>
      </c>
    </row>
    <row r="7" spans="1:2" x14ac:dyDescent="0.3">
      <c r="A7" s="7" t="s">
        <v>1442</v>
      </c>
      <c r="B7" s="7">
        <f>COUNTA(Raw_Data!A2:A1409)</f>
        <v>1408</v>
      </c>
    </row>
    <row r="8" spans="1:2" x14ac:dyDescent="0.3">
      <c r="A8" s="6" t="s">
        <v>1443</v>
      </c>
      <c r="B8" s="7">
        <f>COUNTBLANK(Raw_Data!A2:N1409) + COUNTBLANK(Raw_Data!P2:P1409)</f>
        <v>56</v>
      </c>
    </row>
    <row r="9" spans="1:2" x14ac:dyDescent="0.3">
      <c r="A9" s="7" t="s">
        <v>1433</v>
      </c>
      <c r="B9" s="7">
        <f>COUNTIF(Raw_Data!C2:C1409, "Control")</f>
        <v>693</v>
      </c>
    </row>
    <row r="10" spans="1:2" x14ac:dyDescent="0.3">
      <c r="A10" s="6" t="s">
        <v>1434</v>
      </c>
      <c r="B10" s="7">
        <f>COUNTIF(Raw_Data!C2:C1409, "Treatment")</f>
        <v>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4.4" x14ac:dyDescent="0.3"/>
  <sheetData>
    <row r="1" spans="1:3" x14ac:dyDescent="0.3">
      <c r="A1" s="3" t="s">
        <v>1441</v>
      </c>
      <c r="B1" s="3" t="s">
        <v>17</v>
      </c>
      <c r="C1" s="3" t="s">
        <v>723</v>
      </c>
    </row>
    <row r="2" spans="1:3" x14ac:dyDescent="0.3">
      <c r="A2" t="s">
        <v>28</v>
      </c>
      <c r="B2">
        <v>158</v>
      </c>
      <c r="C2">
        <v>172</v>
      </c>
    </row>
    <row r="3" spans="1:3" x14ac:dyDescent="0.3">
      <c r="A3" t="s">
        <v>18</v>
      </c>
      <c r="B3">
        <v>203</v>
      </c>
      <c r="C3">
        <v>180</v>
      </c>
    </row>
    <row r="4" spans="1:3" x14ac:dyDescent="0.3">
      <c r="A4" t="s">
        <v>32</v>
      </c>
      <c r="B4">
        <v>184</v>
      </c>
      <c r="C4">
        <v>184</v>
      </c>
    </row>
    <row r="5" spans="1:3" x14ac:dyDescent="0.3">
      <c r="A5" t="s">
        <v>23</v>
      </c>
      <c r="B5">
        <v>148</v>
      </c>
      <c r="C5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Data_Quality_Checks</vt:lpstr>
      <vt:lpstr>Pivot_Segments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Bollepalli Ainesh</cp:lastModifiedBy>
  <dcterms:created xsi:type="dcterms:W3CDTF">2026-06-27T17:36:46Z</dcterms:created>
  <dcterms:modified xsi:type="dcterms:W3CDTF">2026-06-27T18:47:35Z</dcterms:modified>
</cp:coreProperties>
</file>